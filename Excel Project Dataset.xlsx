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Document\ExcelBasics\"/>
    </mc:Choice>
  </mc:AlternateContent>
  <xr:revisionPtr revIDLastSave="0" documentId="13_ncr:1_{78DE3ED5-B723-496B-8108-9CB252098E9B}" xr6:coauthVersionLast="47" xr6:coauthVersionMax="47" xr10:uidLastSave="{00000000-0000-0000-0000-000000000000}"/>
  <bookViews>
    <workbookView xWindow="-120" yWindow="-120" windowWidth="29040" windowHeight="15720"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<sst xmlns="http://schemas.openxmlformats.org/spreadsheetml/2006/main" count="16272" uniqueCount="50">
  <si>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</si>
  <si>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</si>
  <si>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</si>
  <si>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</si>
  <si>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</si>
  <si>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</si>
  <si>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</si>
  <si>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</si>
  <si>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</si>
  <si>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</si>
  <si>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</si>
  <si>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</si>
  <si>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</si>
  <si>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</si>
  <si>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</si>
  <si>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</si>
  <si>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</si>
  <si>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</si>
  <si>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</si>
  <si>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</si>
  <si>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</si>
  <si>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</si>
  <si>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</si>
  <si>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</si>
  <si>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</si>
  <si>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</si>
  <si>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</si>
  <si>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</si>
  <si>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</si>
  <si>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</si>
  <si>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</si>
  <si>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</si>
  <si>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</si>
  <si>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</si>
  <si>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</si>
  <si>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</si>
  <si>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</si>
  <si>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</si>
  <si>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</si>
  <si>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</si>
  <si>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</si>
  <si>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</si>
  <si>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</si>
  <si>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</si>
  <si>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</si>
  <si>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</si>
  <si>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More than 10 Miles</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</si>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</sst>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_-[$$-409]* #,##0.00_ ;_-[$$-409]* \-#,##0.00\ ;_-[$$-409]* &quot;-&quot;??_ ;_-@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Average Income Per Perchase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_-[$$-409]* #,##0.00_ ;_-[$$-409]* \-#,##0.00\ ;_-[$$-409]* "-"??_ ;_-@_ </c:formatCode>
                <c:ptCount val="2"/>
                <c:pt idx="0">
                  <c:v>39375</c:v>
                </c:pt>
                <c:pt idx="1">
                  <c:v>40000</c:v>
                </c:pt>
              </c:numCache>
            </c:numRef>
          </c:val>
          <c:extLst>
            <c:ext xmlns:c16="http://schemas.microsoft.com/office/drawing/2014/chart" uri="{C3380CC4-5D6E-409C-BE32-E72D297353CC}">
              <c16:uniqueId val="{00000000-2D27-4209-A000-E7C3D054DBC8}"/>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_-[$$-409]* #,##0.00_ ;_-[$$-409]* \-#,##0.00\ ;_-[$$-409]* "-"??_ ;_-@_ </c:formatCode>
                <c:ptCount val="2"/>
                <c:pt idx="0">
                  <c:v>40000</c:v>
                </c:pt>
                <c:pt idx="1">
                  <c:v>35294.117647058825</c:v>
                </c:pt>
              </c:numCache>
            </c:numRef>
          </c:val>
          <c:extLst>
            <c:ext xmlns:c16="http://schemas.microsoft.com/office/drawing/2014/chart" uri="{C3380CC4-5D6E-409C-BE32-E72D297353CC}">
              <c16:uniqueId val="{00000001-2D27-4209-A000-E7C3D054DBC8}"/>
            </c:ext>
          </c:extLst>
        </c:ser>
        <c:dLbls>
          <c:showLegendKey val="0"/>
          <c:showVal val="0"/>
          <c:showCatName val="0"/>
          <c:showSerName val="0"/>
          <c:showPercent val="0"/>
          <c:showBubbleSize val="0"/>
        </c:dLbls>
        <c:gapWidth val="219"/>
        <c:overlap val="-27"/>
        <c:axId val="2039501488"/>
        <c:axId val="2039495248"/>
      </c:barChart>
      <c:catAx>
        <c:axId val="20395014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495248"/>
        <c:crosses val="autoZero"/>
        <c:auto val="1"/>
        <c:lblAlgn val="ctr"/>
        <c:lblOffset val="100"/>
        <c:noMultiLvlLbl val="0"/>
      </c:catAx>
      <c:valAx>
        <c:axId val="20394952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50148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Customer</a:t>
            </a:r>
            <a:r>
              <a:rPr lang="en-PH" baseline="0"/>
              <a:t> Commute</a:t>
            </a:r>
            <a:endParaRPr lang="en-P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Table'!$A$22:$A$26</c:f>
              <c:strCache>
                <c:ptCount val="4"/>
                <c:pt idx="0">
                  <c:v>0-1 Miles</c:v>
                </c:pt>
                <c:pt idx="1">
                  <c:v>1-2 Miles</c:v>
                </c:pt>
                <c:pt idx="2">
                  <c:v>2-5 Miles</c:v>
                </c:pt>
                <c:pt idx="3">
                  <c:v>More than 10 Miles</c:v>
                </c:pt>
              </c:strCache>
            </c:strRef>
          </c:cat>
          <c:val>
            <c:numRef>
              <c:f>'Pivot Table'!$B$22:$B$26</c:f>
              <c:numCache>
                <c:formatCode>General</c:formatCode>
                <c:ptCount val="4"/>
                <c:pt idx="0">
                  <c:v>19</c:v>
                </c:pt>
                <c:pt idx="2">
                  <c:v>4</c:v>
                </c:pt>
                <c:pt idx="3">
                  <c:v>1</c:v>
                </c:pt>
              </c:numCache>
            </c:numRef>
          </c:val>
          <c:smooth val="0"/>
          <c:extLst>
            <c:ext xmlns:c16="http://schemas.microsoft.com/office/drawing/2014/chart" uri="{C3380CC4-5D6E-409C-BE32-E72D297353CC}">
              <c16:uniqueId val="{00000000-4630-48A5-AE87-DD79144A8FA3}"/>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Table'!$A$22:$A$26</c:f>
              <c:strCache>
                <c:ptCount val="4"/>
                <c:pt idx="0">
                  <c:v>0-1 Miles</c:v>
                </c:pt>
                <c:pt idx="1">
                  <c:v>1-2 Miles</c:v>
                </c:pt>
                <c:pt idx="2">
                  <c:v>2-5 Miles</c:v>
                </c:pt>
                <c:pt idx="3">
                  <c:v>More than 10 Miles</c:v>
                </c:pt>
              </c:strCache>
            </c:strRef>
          </c:cat>
          <c:val>
            <c:numRef>
              <c:f>'Pivot Table'!$C$22:$C$26</c:f>
              <c:numCache>
                <c:formatCode>General</c:formatCode>
                <c:ptCount val="4"/>
                <c:pt idx="0">
                  <c:v>31</c:v>
                </c:pt>
                <c:pt idx="1">
                  <c:v>3</c:v>
                </c:pt>
                <c:pt idx="3">
                  <c:v>1</c:v>
                </c:pt>
              </c:numCache>
            </c:numRef>
          </c:val>
          <c:smooth val="0"/>
          <c:extLst>
            <c:ext xmlns:c16="http://schemas.microsoft.com/office/drawing/2014/chart" uri="{C3380CC4-5D6E-409C-BE32-E72D297353CC}">
              <c16:uniqueId val="{00000001-4630-48A5-AE87-DD79144A8FA3}"/>
            </c:ext>
          </c:extLst>
        </c:ser>
        <c:dLbls>
          <c:showLegendKey val="0"/>
          <c:showVal val="0"/>
          <c:showCatName val="0"/>
          <c:showSerName val="0"/>
          <c:showPercent val="0"/>
          <c:showBubbleSize val="0"/>
        </c:dLbls>
        <c:smooth val="0"/>
        <c:axId val="1301849072"/>
        <c:axId val="1301864432"/>
      </c:lineChart>
      <c:catAx>
        <c:axId val="13018490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864432"/>
        <c:crosses val="autoZero"/>
        <c:auto val="1"/>
        <c:lblAlgn val="ctr"/>
        <c:lblOffset val="100"/>
        <c:noMultiLvlLbl val="0"/>
      </c:catAx>
      <c:valAx>
        <c:axId val="1301864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849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Table'!$A$43:$A$45</c:f>
              <c:strCache>
                <c:ptCount val="2"/>
                <c:pt idx="0">
                  <c:v>Middle Age</c:v>
                </c:pt>
                <c:pt idx="1">
                  <c:v>Old</c:v>
                </c:pt>
              </c:strCache>
            </c:strRef>
          </c:cat>
          <c:val>
            <c:numRef>
              <c:f>'Pivot Table'!$B$43:$B$45</c:f>
              <c:numCache>
                <c:formatCode>General</c:formatCode>
                <c:ptCount val="2"/>
                <c:pt idx="0">
                  <c:v>13</c:v>
                </c:pt>
                <c:pt idx="1">
                  <c:v>11</c:v>
                </c:pt>
              </c:numCache>
            </c:numRef>
          </c:val>
          <c:smooth val="0"/>
          <c:extLst>
            <c:ext xmlns:c16="http://schemas.microsoft.com/office/drawing/2014/chart" uri="{C3380CC4-5D6E-409C-BE32-E72D297353CC}">
              <c16:uniqueId val="{00000000-4E18-45FE-83F8-191ECB6E4DED}"/>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Table'!$A$43:$A$45</c:f>
              <c:strCache>
                <c:ptCount val="2"/>
                <c:pt idx="0">
                  <c:v>Middle Age</c:v>
                </c:pt>
                <c:pt idx="1">
                  <c:v>Old</c:v>
                </c:pt>
              </c:strCache>
            </c:strRef>
          </c:cat>
          <c:val>
            <c:numRef>
              <c:f>'Pivot Table'!$C$43:$C$45</c:f>
              <c:numCache>
                <c:formatCode>General</c:formatCode>
                <c:ptCount val="2"/>
                <c:pt idx="0">
                  <c:v>32</c:v>
                </c:pt>
                <c:pt idx="1">
                  <c:v>3</c:v>
                </c:pt>
              </c:numCache>
            </c:numRef>
          </c:val>
          <c:smooth val="0"/>
          <c:extLst>
            <c:ext xmlns:c16="http://schemas.microsoft.com/office/drawing/2014/chart" uri="{C3380CC4-5D6E-409C-BE32-E72D297353CC}">
              <c16:uniqueId val="{00000001-4E18-45FE-83F8-191ECB6E4DED}"/>
            </c:ext>
          </c:extLst>
        </c:ser>
        <c:dLbls>
          <c:showLegendKey val="0"/>
          <c:showVal val="0"/>
          <c:showCatName val="0"/>
          <c:showSerName val="0"/>
          <c:showPercent val="0"/>
          <c:showBubbleSize val="0"/>
        </c:dLbls>
        <c:marker val="1"/>
        <c:smooth val="0"/>
        <c:axId val="1301819792"/>
        <c:axId val="1301821232"/>
      </c:lineChart>
      <c:catAx>
        <c:axId val="13018197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Age Bracket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821232"/>
        <c:crosses val="autoZero"/>
        <c:auto val="1"/>
        <c:lblAlgn val="ctr"/>
        <c:lblOffset val="100"/>
        <c:noMultiLvlLbl val="0"/>
      </c:catAx>
      <c:valAx>
        <c:axId val="1301821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819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Average Income Per Perchase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_-[$$-409]* #,##0.00_ ;_-[$$-409]* \-#,##0.00\ ;_-[$$-409]* "-"??_ ;_-@_ </c:formatCode>
                <c:ptCount val="2"/>
                <c:pt idx="0">
                  <c:v>39375</c:v>
                </c:pt>
                <c:pt idx="1">
                  <c:v>40000</c:v>
                </c:pt>
              </c:numCache>
            </c:numRef>
          </c:val>
          <c:extLst>
            <c:ext xmlns:c16="http://schemas.microsoft.com/office/drawing/2014/chart" uri="{C3380CC4-5D6E-409C-BE32-E72D297353CC}">
              <c16:uniqueId val="{00000000-A50B-410C-9FB4-939CEC31A135}"/>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_-[$$-409]* #,##0.00_ ;_-[$$-409]* \-#,##0.00\ ;_-[$$-409]* "-"??_ ;_-@_ </c:formatCode>
                <c:ptCount val="2"/>
                <c:pt idx="0">
                  <c:v>40000</c:v>
                </c:pt>
                <c:pt idx="1">
                  <c:v>35294.117647058825</c:v>
                </c:pt>
              </c:numCache>
            </c:numRef>
          </c:val>
          <c:extLst>
            <c:ext xmlns:c16="http://schemas.microsoft.com/office/drawing/2014/chart" uri="{C3380CC4-5D6E-409C-BE32-E72D297353CC}">
              <c16:uniqueId val="{00000001-A50B-410C-9FB4-939CEC31A135}"/>
            </c:ext>
          </c:extLst>
        </c:ser>
        <c:dLbls>
          <c:showLegendKey val="0"/>
          <c:showVal val="0"/>
          <c:showCatName val="0"/>
          <c:showSerName val="0"/>
          <c:showPercent val="0"/>
          <c:showBubbleSize val="0"/>
        </c:dLbls>
        <c:gapWidth val="219"/>
        <c:overlap val="-27"/>
        <c:axId val="2039501488"/>
        <c:axId val="2039495248"/>
      </c:barChart>
      <c:catAx>
        <c:axId val="20395014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495248"/>
        <c:crosses val="autoZero"/>
        <c:auto val="1"/>
        <c:lblAlgn val="ctr"/>
        <c:lblOffset val="100"/>
        <c:noMultiLvlLbl val="0"/>
      </c:catAx>
      <c:valAx>
        <c:axId val="20394952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50148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PH"/>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PH"/>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Table'!$A$22:$A$26</c:f>
              <c:strCache>
                <c:ptCount val="4"/>
                <c:pt idx="0">
                  <c:v>0-1 Miles</c:v>
                </c:pt>
                <c:pt idx="1">
                  <c:v>1-2 Miles</c:v>
                </c:pt>
                <c:pt idx="2">
                  <c:v>2-5 Miles</c:v>
                </c:pt>
                <c:pt idx="3">
                  <c:v>More than 10 Miles</c:v>
                </c:pt>
              </c:strCache>
            </c:strRef>
          </c:cat>
          <c:val>
            <c:numRef>
              <c:f>'Pivot Table'!$B$22:$B$26</c:f>
              <c:numCache>
                <c:formatCode>General</c:formatCode>
                <c:ptCount val="4"/>
                <c:pt idx="0">
                  <c:v>19</c:v>
                </c:pt>
                <c:pt idx="2">
                  <c:v>4</c:v>
                </c:pt>
                <c:pt idx="3">
                  <c:v>1</c:v>
                </c:pt>
              </c:numCache>
            </c:numRef>
          </c:val>
          <c:smooth val="0"/>
          <c:extLst>
            <c:ext xmlns:c16="http://schemas.microsoft.com/office/drawing/2014/chart" uri="{C3380CC4-5D6E-409C-BE32-E72D297353CC}">
              <c16:uniqueId val="{00000000-1FAF-44B8-ACE5-C4F6E7A0446E}"/>
            </c:ext>
          </c:extLst>
        </c:ser>
        <c:ser>
          <c:idx val="1"/>
          <c:order val="1"/>
          <c:tx>
            <c:strRef>
              <c:f>'Pivot Table'!$C$20:$C$21</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Table'!$A$22:$A$26</c:f>
              <c:strCache>
                <c:ptCount val="4"/>
                <c:pt idx="0">
                  <c:v>0-1 Miles</c:v>
                </c:pt>
                <c:pt idx="1">
                  <c:v>1-2 Miles</c:v>
                </c:pt>
                <c:pt idx="2">
                  <c:v>2-5 Miles</c:v>
                </c:pt>
                <c:pt idx="3">
                  <c:v>More than 10 Miles</c:v>
                </c:pt>
              </c:strCache>
            </c:strRef>
          </c:cat>
          <c:val>
            <c:numRef>
              <c:f>'Pivot Table'!$C$22:$C$26</c:f>
              <c:numCache>
                <c:formatCode>General</c:formatCode>
                <c:ptCount val="4"/>
                <c:pt idx="0">
                  <c:v>31</c:v>
                </c:pt>
                <c:pt idx="1">
                  <c:v>3</c:v>
                </c:pt>
                <c:pt idx="3">
                  <c:v>1</c:v>
                </c:pt>
              </c:numCache>
            </c:numRef>
          </c:val>
          <c:smooth val="0"/>
          <c:extLst>
            <c:ext xmlns:c16="http://schemas.microsoft.com/office/drawing/2014/chart" uri="{C3380CC4-5D6E-409C-BE32-E72D297353CC}">
              <c16:uniqueId val="{00000001-1FAF-44B8-ACE5-C4F6E7A0446E}"/>
            </c:ext>
          </c:extLst>
        </c:ser>
        <c:dLbls>
          <c:showLegendKey val="0"/>
          <c:showVal val="0"/>
          <c:showCatName val="0"/>
          <c:showSerName val="0"/>
          <c:showPercent val="0"/>
          <c:showBubbleSize val="0"/>
        </c:dLbls>
        <c:marker val="1"/>
        <c:smooth val="0"/>
        <c:axId val="1301849072"/>
        <c:axId val="1301864432"/>
      </c:lineChart>
      <c:catAx>
        <c:axId val="130184907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PH"/>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01864432"/>
        <c:crosses val="autoZero"/>
        <c:auto val="1"/>
        <c:lblAlgn val="ctr"/>
        <c:lblOffset val="100"/>
        <c:noMultiLvlLbl val="0"/>
      </c:catAx>
      <c:valAx>
        <c:axId val="130186443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01849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Customer Age Bracket</a:t>
            </a:r>
          </a:p>
        </c:rich>
      </c:tx>
      <c:layout>
        <c:manualLayout>
          <c:xMode val="edge"/>
          <c:yMode val="edge"/>
          <c:x val="0.22625632374394553"/>
          <c:y val="0.1179139564076229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Table'!$A$43:$A$45</c:f>
              <c:strCache>
                <c:ptCount val="2"/>
                <c:pt idx="0">
                  <c:v>Middle Age</c:v>
                </c:pt>
                <c:pt idx="1">
                  <c:v>Old</c:v>
                </c:pt>
              </c:strCache>
            </c:strRef>
          </c:cat>
          <c:val>
            <c:numRef>
              <c:f>'Pivot Table'!$B$43:$B$45</c:f>
              <c:numCache>
                <c:formatCode>General</c:formatCode>
                <c:ptCount val="2"/>
                <c:pt idx="0">
                  <c:v>13</c:v>
                </c:pt>
                <c:pt idx="1">
                  <c:v>11</c:v>
                </c:pt>
              </c:numCache>
            </c:numRef>
          </c:val>
          <c:smooth val="0"/>
          <c:extLst>
            <c:ext xmlns:c16="http://schemas.microsoft.com/office/drawing/2014/chart" uri="{C3380CC4-5D6E-409C-BE32-E72D297353CC}">
              <c16:uniqueId val="{00000000-2A0D-403B-AA6D-459A2C24269B}"/>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Table'!$A$43:$A$45</c:f>
              <c:strCache>
                <c:ptCount val="2"/>
                <c:pt idx="0">
                  <c:v>Middle Age</c:v>
                </c:pt>
                <c:pt idx="1">
                  <c:v>Old</c:v>
                </c:pt>
              </c:strCache>
            </c:strRef>
          </c:cat>
          <c:val>
            <c:numRef>
              <c:f>'Pivot Table'!$C$43:$C$45</c:f>
              <c:numCache>
                <c:formatCode>General</c:formatCode>
                <c:ptCount val="2"/>
                <c:pt idx="0">
                  <c:v>32</c:v>
                </c:pt>
                <c:pt idx="1">
                  <c:v>3</c:v>
                </c:pt>
              </c:numCache>
            </c:numRef>
          </c:val>
          <c:smooth val="0"/>
          <c:extLst>
            <c:ext xmlns:c16="http://schemas.microsoft.com/office/drawing/2014/chart" uri="{C3380CC4-5D6E-409C-BE32-E72D297353CC}">
              <c16:uniqueId val="{00000001-2A0D-403B-AA6D-459A2C24269B}"/>
            </c:ext>
          </c:extLst>
        </c:ser>
        <c:dLbls>
          <c:showLegendKey val="0"/>
          <c:showVal val="0"/>
          <c:showCatName val="0"/>
          <c:showSerName val="0"/>
          <c:showPercent val="0"/>
          <c:showBubbleSize val="0"/>
        </c:dLbls>
        <c:marker val="1"/>
        <c:smooth val="0"/>
        <c:axId val="1301819792"/>
        <c:axId val="1301821232"/>
      </c:lineChart>
      <c:catAx>
        <c:axId val="13018197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Age Bracket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821232"/>
        <c:crosses val="autoZero"/>
        <c:auto val="1"/>
        <c:lblAlgn val="ctr"/>
        <c:lblOffset val="100"/>
        <c:noMultiLvlLbl val="0"/>
      </c:catAx>
      <c:valAx>
        <c:axId val="1301821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819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57150</xdr:colOff>
      <xdr:row>0</xdr:row>
      <xdr:rowOff>80962</xdr:rowOff>
    </xdr:from>
    <xdr:to>
      <xdr:col>12</xdr:col>
      <xdr:colOff>361950</xdr:colOff>
      <xdr:row>14</xdr:row>
      <xdr:rowOff>157162</xdr:rowOff>
    </xdr:to>
    <xdr:graphicFrame macro="">
      <xdr:nvGraphicFramePr>
        <xdr:cNvPr id="2" name="Chart 1">
          <a:extLst>
            <a:ext uri="{FF2B5EF4-FFF2-40B4-BE49-F238E27FC236}">
              <a16:creationId xmlns:a16="http://schemas.microsoft.com/office/drawing/2014/main" id="{B8621855-DB96-BB71-1921-3CCAC5EE16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942975</xdr:colOff>
      <xdr:row>18</xdr:row>
      <xdr:rowOff>80962</xdr:rowOff>
    </xdr:from>
    <xdr:to>
      <xdr:col>12</xdr:col>
      <xdr:colOff>19050</xdr:colOff>
      <xdr:row>32</xdr:row>
      <xdr:rowOff>157162</xdr:rowOff>
    </xdr:to>
    <xdr:graphicFrame macro="">
      <xdr:nvGraphicFramePr>
        <xdr:cNvPr id="3" name="Chart 2">
          <a:extLst>
            <a:ext uri="{FF2B5EF4-FFF2-40B4-BE49-F238E27FC236}">
              <a16:creationId xmlns:a16="http://schemas.microsoft.com/office/drawing/2014/main" id="{7D12BBAE-1AB0-0631-961D-50B43B3294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866775</xdr:colOff>
      <xdr:row>38</xdr:row>
      <xdr:rowOff>109537</xdr:rowOff>
    </xdr:from>
    <xdr:to>
      <xdr:col>11</xdr:col>
      <xdr:colOff>552450</xdr:colOff>
      <xdr:row>52</xdr:row>
      <xdr:rowOff>185737</xdr:rowOff>
    </xdr:to>
    <xdr:graphicFrame macro="">
      <xdr:nvGraphicFramePr>
        <xdr:cNvPr id="4" name="Chart 3">
          <a:extLst>
            <a:ext uri="{FF2B5EF4-FFF2-40B4-BE49-F238E27FC236}">
              <a16:creationId xmlns:a16="http://schemas.microsoft.com/office/drawing/2014/main" id="{91A00A7C-FB45-0246-3B50-CBA37F6383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257175</xdr:colOff>
      <xdr:row>6</xdr:row>
      <xdr:rowOff>9524</xdr:rowOff>
    </xdr:from>
    <xdr:to>
      <xdr:col>9</xdr:col>
      <xdr:colOff>44823</xdr:colOff>
      <xdr:row>20</xdr:row>
      <xdr:rowOff>179294</xdr:rowOff>
    </xdr:to>
    <xdr:graphicFrame macro="">
      <xdr:nvGraphicFramePr>
        <xdr:cNvPr id="2" name="Chart 1">
          <a:extLst>
            <a:ext uri="{FF2B5EF4-FFF2-40B4-BE49-F238E27FC236}">
              <a16:creationId xmlns:a16="http://schemas.microsoft.com/office/drawing/2014/main" id="{BEE4D907-316C-4E57-9A51-C727A9E733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268381</xdr:colOff>
      <xdr:row>21</xdr:row>
      <xdr:rowOff>40903</xdr:rowOff>
    </xdr:from>
    <xdr:to>
      <xdr:col>14</xdr:col>
      <xdr:colOff>601755</xdr:colOff>
      <xdr:row>36</xdr:row>
      <xdr:rowOff>40903</xdr:rowOff>
    </xdr:to>
    <xdr:graphicFrame macro="">
      <xdr:nvGraphicFramePr>
        <xdr:cNvPr id="3" name="Chart 2">
          <a:extLst>
            <a:ext uri="{FF2B5EF4-FFF2-40B4-BE49-F238E27FC236}">
              <a16:creationId xmlns:a16="http://schemas.microsoft.com/office/drawing/2014/main" id="{2A66C819-9DA3-488B-ABD0-2D01A5E91F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78442</xdr:colOff>
      <xdr:row>6</xdr:row>
      <xdr:rowOff>9525</xdr:rowOff>
    </xdr:from>
    <xdr:to>
      <xdr:col>14</xdr:col>
      <xdr:colOff>592232</xdr:colOff>
      <xdr:row>20</xdr:row>
      <xdr:rowOff>179294</xdr:rowOff>
    </xdr:to>
    <xdr:graphicFrame macro="">
      <xdr:nvGraphicFramePr>
        <xdr:cNvPr id="4" name="Chart 3">
          <a:extLst>
            <a:ext uri="{FF2B5EF4-FFF2-40B4-BE49-F238E27FC236}">
              <a16:creationId xmlns:a16="http://schemas.microsoft.com/office/drawing/2014/main" id="{11CF189D-C81A-4AAD-98C9-02E2B013C3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28576</xdr:rowOff>
    </xdr:from>
    <xdr:to>
      <xdr:col>2</xdr:col>
      <xdr:colOff>228600</xdr:colOff>
      <xdr:row>11</xdr:row>
      <xdr:rowOff>11206</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2DD9DF66-8F19-894B-4A84-F7E1D26596F4}"/>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1171576"/>
              <a:ext cx="1438835" cy="93513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63875</xdr:rowOff>
    </xdr:from>
    <xdr:to>
      <xdr:col>2</xdr:col>
      <xdr:colOff>228600</xdr:colOff>
      <xdr:row>26</xdr:row>
      <xdr:rowOff>121025</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3F2B3BBD-495A-5581-3197-20DC784E3F77}"/>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302375"/>
              <a:ext cx="1438835" cy="177165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19610</xdr:rowOff>
    </xdr:from>
    <xdr:to>
      <xdr:col>2</xdr:col>
      <xdr:colOff>238125</xdr:colOff>
      <xdr:row>17</xdr:row>
      <xdr:rowOff>67235</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684FEEB4-75C1-BF41-91F1-8E1C95BAA91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115110"/>
              <a:ext cx="1448360" cy="119062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hon Robin Blanco" refreshedDate="46176.043197800929" createdVersion="8" refreshedVersion="8" minRefreshableVersion="3" recordCount="1000" xr:uid="{A55A2972-DF74-4D03-9334-B040E0AB83F2}">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6104535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AD2D9E-8125-48FE-BB1B-A29B13BF4AC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5"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12">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C530E7-B7A5-48F6-896E-3086DFAC587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61:D88"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26">
    <i>
      <x v="7"/>
    </i>
    <i>
      <x v="8"/>
    </i>
    <i>
      <x v="10"/>
    </i>
    <i>
      <x v="11"/>
    </i>
    <i>
      <x v="12"/>
    </i>
    <i>
      <x v="13"/>
    </i>
    <i>
      <x v="14"/>
    </i>
    <i>
      <x v="15"/>
    </i>
    <i>
      <x v="16"/>
    </i>
    <i>
      <x v="17"/>
    </i>
    <i>
      <x v="18"/>
    </i>
    <i>
      <x v="19"/>
    </i>
    <i>
      <x v="20"/>
    </i>
    <i>
      <x v="22"/>
    </i>
    <i>
      <x v="23"/>
    </i>
    <i>
      <x v="25"/>
    </i>
    <i>
      <x v="27"/>
    </i>
    <i>
      <x v="34"/>
    </i>
    <i>
      <x v="36"/>
    </i>
    <i>
      <x v="37"/>
    </i>
    <i>
      <x v="39"/>
    </i>
    <i>
      <x v="40"/>
    </i>
    <i>
      <x v="41"/>
    </i>
    <i>
      <x v="51"/>
    </i>
    <i>
      <x v="52"/>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947637-7723-449E-977C-0E53639D562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1:D45"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Row" showAll="0">
      <items count="4">
        <item x="2"/>
        <item x="0"/>
        <item x="1"/>
        <item t="default"/>
      </items>
    </pivotField>
    <pivotField axis="axisCol" dataField="1" showAll="0">
      <items count="3">
        <item x="0"/>
        <item x="1"/>
        <item t="default"/>
      </items>
    </pivotField>
  </pivotFields>
  <rowFields count="1">
    <field x="12"/>
  </rowFields>
  <rowItems count="3">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D6B1E3-C199-425D-A08D-C0C7C710FE6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0:D26"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5">
    <i>
      <x/>
    </i>
    <i>
      <x v="2"/>
    </i>
    <i>
      <x v="3"/>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D64EC9FF-4063-4174-8DDD-63996022C170}" sourceName="Marital Status">
  <pivotTables>
    <pivotTable tabId="3" name="PivotTable1"/>
    <pivotTable tabId="3" name="PivotTable2"/>
    <pivotTable tabId="3" name="PivotTable3"/>
    <pivotTable tabId="3" name="PivotTable4"/>
  </pivotTables>
  <data>
    <tabular pivotCacheId="1610453505">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ABC57D9-B8F1-4AB9-8322-EFDC1B0AA530}" sourceName="Education">
  <pivotTables>
    <pivotTable tabId="3" name="PivotTable1"/>
    <pivotTable tabId="3" name="PivotTable2"/>
    <pivotTable tabId="3" name="PivotTable3"/>
    <pivotTable tabId="3" name="PivotTable4"/>
  </pivotTables>
  <data>
    <tabular pivotCacheId="1610453505">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5B46083-FFA5-4DDB-92DB-6822C3B86830}" sourceName="Region">
  <pivotTables>
    <pivotTable tabId="3" name="PivotTable1"/>
    <pivotTable tabId="3" name="PivotTable2"/>
    <pivotTable tabId="3" name="PivotTable3"/>
    <pivotTable tabId="3" name="PivotTable4"/>
  </pivotTables>
  <data>
    <tabular pivotCacheId="1610453505">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A5E0AE09-CA38-4983-A4D3-842CEC99379D}" cache="Slicer_Marital_Status" caption="Marital Status" rowHeight="241300"/>
  <slicer name="Education" xr10:uid="{FDE31932-7638-4DBB-A55E-B955882BF120}" cache="Slicer_Education" caption="Education" rowHeight="241300"/>
  <slicer name="Region" xr10:uid="{94A6485D-A91D-4018-A8B0-E6E5EAB7DB88}"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B1" sqref="B1:B1048576"/>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D0F63-E5AC-4E0E-8CC9-B22BE2DC46CB}">
  <dimension ref="A1:N1001"/>
  <sheetViews>
    <sheetView workbookViewId="0">
      <selection activeCell="M2" sqref="M2"/>
    </sheetView>
  </sheetViews>
  <sheetFormatPr defaultColWidth="11.85546875" defaultRowHeight="15" x14ac:dyDescent="0.25"/>
  <cols>
    <col min="1" max="1" width="9.42578125" customWidth="1"/>
    <col min="2" max="2" width="17.42578125" customWidth="1"/>
    <col min="3" max="3" width="15" customWidth="1"/>
    <col min="4" max="4" width="18.42578125" style="3" customWidth="1"/>
    <col min="5" max="5" width="10.85546875" bestFit="1" customWidth="1"/>
    <col min="6" max="6" width="19.7109375" customWidth="1"/>
    <col min="7" max="7" width="16.28515625" customWidth="1"/>
    <col min="8" max="8" width="15" bestFit="1" customWidth="1"/>
    <col min="9" max="9" width="8.140625" customWidth="1"/>
    <col min="10" max="10" width="20.28515625" bestFit="1" customWidth="1"/>
    <col min="11" max="11" width="14" bestFit="1" customWidth="1"/>
    <col min="12" max="12" width="8.7109375" customWidth="1"/>
    <col min="13" max="13" width="21.42578125" customWidth="1"/>
    <col min="14" max="14" width="16.85546875" bestFit="1"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38</v>
      </c>
      <c r="D2" s="3">
        <v>40000</v>
      </c>
      <c r="E2">
        <v>1</v>
      </c>
      <c r="F2" t="s">
        <v>13</v>
      </c>
      <c r="G2" t="s">
        <v>14</v>
      </c>
      <c r="H2" t="s">
        <v>15</v>
      </c>
      <c r="I2">
        <v>0</v>
      </c>
      <c r="J2" t="s">
        <v>16</v>
      </c>
      <c r="K2" t="s">
        <v>17</v>
      </c>
      <c r="L2">
        <v>42</v>
      </c>
      <c r="M2" t="str">
        <f>IF(L2&gt;54,"Old",IF(L2&gt;=31,"Middle Age",IF(L2&lt;31, "Adolescent", "Invalid")))</f>
        <v>Middle Age</v>
      </c>
      <c r="N2" t="s">
        <v>18</v>
      </c>
    </row>
    <row r="3" spans="1:14" x14ac:dyDescent="0.25">
      <c r="A3">
        <v>24107</v>
      </c>
      <c r="B3" t="s">
        <v>36</v>
      </c>
      <c r="C3" t="s">
        <v>39</v>
      </c>
      <c r="D3" s="3">
        <v>30000</v>
      </c>
      <c r="E3">
        <v>3</v>
      </c>
      <c r="F3" t="s">
        <v>19</v>
      </c>
      <c r="G3" t="s">
        <v>20</v>
      </c>
      <c r="H3" t="s">
        <v>15</v>
      </c>
      <c r="I3">
        <v>1</v>
      </c>
      <c r="J3" t="s">
        <v>16</v>
      </c>
      <c r="K3" t="s">
        <v>17</v>
      </c>
      <c r="L3">
        <v>43</v>
      </c>
      <c r="M3" t="str">
        <f t="shared" ref="M3:M66" si="0">IF(L3&gt;54,"Old",IF(L3&gt;=31,"Middle Age",IF(L3&lt;31, "Adolescent", "Invalid")))</f>
        <v>Middle Age</v>
      </c>
      <c r="N3" t="s">
        <v>18</v>
      </c>
    </row>
    <row r="4" spans="1:14" x14ac:dyDescent="0.25">
      <c r="A4">
        <v>14177</v>
      </c>
      <c r="B4" t="s">
        <v>36</v>
      </c>
      <c r="C4" t="s">
        <v>39</v>
      </c>
      <c r="D4" s="3">
        <v>80000</v>
      </c>
      <c r="E4">
        <v>5</v>
      </c>
      <c r="F4" t="s">
        <v>19</v>
      </c>
      <c r="G4" t="s">
        <v>21</v>
      </c>
      <c r="H4" t="s">
        <v>18</v>
      </c>
      <c r="I4">
        <v>2</v>
      </c>
      <c r="J4" t="s">
        <v>22</v>
      </c>
      <c r="K4" t="s">
        <v>17</v>
      </c>
      <c r="L4">
        <v>60</v>
      </c>
      <c r="M4" t="str">
        <f t="shared" si="0"/>
        <v>Old</v>
      </c>
      <c r="N4" t="s">
        <v>18</v>
      </c>
    </row>
    <row r="5" spans="1:14" x14ac:dyDescent="0.25">
      <c r="A5">
        <v>24381</v>
      </c>
      <c r="B5" t="s">
        <v>37</v>
      </c>
      <c r="C5" t="s">
        <v>39</v>
      </c>
      <c r="D5" s="3">
        <v>70000</v>
      </c>
      <c r="E5">
        <v>0</v>
      </c>
      <c r="F5" t="s">
        <v>13</v>
      </c>
      <c r="G5" t="s">
        <v>21</v>
      </c>
      <c r="H5" t="s">
        <v>15</v>
      </c>
      <c r="I5">
        <v>1</v>
      </c>
      <c r="J5" t="s">
        <v>23</v>
      </c>
      <c r="K5" t="s">
        <v>24</v>
      </c>
      <c r="L5">
        <v>41</v>
      </c>
      <c r="M5" t="str">
        <f t="shared" si="0"/>
        <v>Middle Age</v>
      </c>
      <c r="N5" t="s">
        <v>15</v>
      </c>
    </row>
    <row r="6" spans="1:14" x14ac:dyDescent="0.25">
      <c r="A6">
        <v>25597</v>
      </c>
      <c r="B6" t="s">
        <v>37</v>
      </c>
      <c r="C6" t="s">
        <v>39</v>
      </c>
      <c r="D6" s="3">
        <v>30000</v>
      </c>
      <c r="E6">
        <v>0</v>
      </c>
      <c r="F6" t="s">
        <v>13</v>
      </c>
      <c r="G6" t="s">
        <v>20</v>
      </c>
      <c r="H6" t="s">
        <v>18</v>
      </c>
      <c r="I6">
        <v>0</v>
      </c>
      <c r="J6" t="s">
        <v>16</v>
      </c>
      <c r="K6" t="s">
        <v>17</v>
      </c>
      <c r="L6">
        <v>36</v>
      </c>
      <c r="M6" t="str">
        <f t="shared" si="0"/>
        <v>Middle Age</v>
      </c>
      <c r="N6" t="s">
        <v>15</v>
      </c>
    </row>
    <row r="7" spans="1:14" x14ac:dyDescent="0.25">
      <c r="A7">
        <v>13507</v>
      </c>
      <c r="B7" t="s">
        <v>36</v>
      </c>
      <c r="C7" t="s">
        <v>38</v>
      </c>
      <c r="D7" s="3">
        <v>10000</v>
      </c>
      <c r="E7">
        <v>2</v>
      </c>
      <c r="F7" t="s">
        <v>19</v>
      </c>
      <c r="G7" t="s">
        <v>25</v>
      </c>
      <c r="H7" t="s">
        <v>15</v>
      </c>
      <c r="I7">
        <v>0</v>
      </c>
      <c r="J7" t="s">
        <v>26</v>
      </c>
      <c r="K7" t="s">
        <v>17</v>
      </c>
      <c r="L7">
        <v>50</v>
      </c>
      <c r="M7" t="str">
        <f t="shared" si="0"/>
        <v>Middle Age</v>
      </c>
      <c r="N7" t="s">
        <v>18</v>
      </c>
    </row>
    <row r="8" spans="1:14" x14ac:dyDescent="0.25">
      <c r="A8">
        <v>27974</v>
      </c>
      <c r="B8" t="s">
        <v>37</v>
      </c>
      <c r="C8" t="s">
        <v>39</v>
      </c>
      <c r="D8" s="3">
        <v>160000</v>
      </c>
      <c r="E8">
        <v>2</v>
      </c>
      <c r="F8" t="s">
        <v>27</v>
      </c>
      <c r="G8" t="s">
        <v>28</v>
      </c>
      <c r="H8" t="s">
        <v>15</v>
      </c>
      <c r="I8">
        <v>4</v>
      </c>
      <c r="J8" t="s">
        <v>16</v>
      </c>
      <c r="K8" t="s">
        <v>24</v>
      </c>
      <c r="L8">
        <v>33</v>
      </c>
      <c r="M8" t="str">
        <f t="shared" si="0"/>
        <v>Middle Age</v>
      </c>
      <c r="N8" t="s">
        <v>15</v>
      </c>
    </row>
    <row r="9" spans="1:14" x14ac:dyDescent="0.25">
      <c r="A9">
        <v>19364</v>
      </c>
      <c r="B9" t="s">
        <v>36</v>
      </c>
      <c r="C9" t="s">
        <v>39</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25">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25">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25">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25">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25">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39</v>
      </c>
      <c r="D67" s="3">
        <v>30000</v>
      </c>
      <c r="E67">
        <v>2</v>
      </c>
      <c r="F67" t="s">
        <v>19</v>
      </c>
      <c r="G67" t="s">
        <v>20</v>
      </c>
      <c r="H67" t="s">
        <v>15</v>
      </c>
      <c r="I67">
        <v>2</v>
      </c>
      <c r="J67" t="s">
        <v>23</v>
      </c>
      <c r="K67" t="s">
        <v>24</v>
      </c>
      <c r="L67">
        <v>68</v>
      </c>
      <c r="M67" t="str">
        <f t="shared" ref="M67:M130" si="1">IF(L67&gt;54,"Old",IF(L67&gt;=31,"Middle Age",IF(L67&lt;31, "Adolescent", "Invalid")))</f>
        <v>Old</v>
      </c>
      <c r="N67" t="s">
        <v>18</v>
      </c>
    </row>
    <row r="68" spans="1:14" x14ac:dyDescent="0.25">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25">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25">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25">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25">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Age",IF(L131&lt;31, "Adolescent", "Invalid")))</f>
        <v>Middle Age</v>
      </c>
      <c r="N131" t="s">
        <v>15</v>
      </c>
    </row>
    <row r="132" spans="1:14" x14ac:dyDescent="0.25">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25">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25">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25">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25">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38</v>
      </c>
      <c r="D195" s="3">
        <v>70000</v>
      </c>
      <c r="E195">
        <v>5</v>
      </c>
      <c r="F195" t="s">
        <v>13</v>
      </c>
      <c r="G195" t="s">
        <v>21</v>
      </c>
      <c r="H195" t="s">
        <v>15</v>
      </c>
      <c r="I195">
        <v>4</v>
      </c>
      <c r="J195" t="s">
        <v>46</v>
      </c>
      <c r="K195" t="s">
        <v>24</v>
      </c>
      <c r="L195">
        <v>41</v>
      </c>
      <c r="M195" t="str">
        <f t="shared" ref="M195:M258" si="3">IF(L195&gt;54,"Old",IF(L195&gt;=31,"Middle Age",IF(L195&lt;31, "Adolescent", "Invalid")))</f>
        <v>Middle Age</v>
      </c>
      <c r="N195" t="s">
        <v>18</v>
      </c>
    </row>
    <row r="196" spans="1:14" x14ac:dyDescent="0.25">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25">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25">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25">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25">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25">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25">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Age",IF(L259&lt;31, "Adolescent", "Invalid")))</f>
        <v>Middle Age</v>
      </c>
      <c r="N259" t="s">
        <v>15</v>
      </c>
    </row>
    <row r="260" spans="1:14" x14ac:dyDescent="0.25">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25">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25">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25">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25">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Age",IF(L323&lt;31, "Adolescent", "Invalid")))</f>
        <v>Middle Age</v>
      </c>
      <c r="N323" t="s">
        <v>15</v>
      </c>
    </row>
    <row r="324" spans="1:14" x14ac:dyDescent="0.25">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25">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25">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25">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25">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25">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25">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Age",IF(L387&lt;31, "Adolescent", "Invalid")))</f>
        <v>Middle Age</v>
      </c>
      <c r="N387" t="s">
        <v>18</v>
      </c>
    </row>
    <row r="388" spans="1:14" x14ac:dyDescent="0.25">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25">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25">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25">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25">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25">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25">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Age",IF(L451&lt;31, "Adolescent", "Invalid")))</f>
        <v>Middle Age</v>
      </c>
      <c r="N451" t="s">
        <v>18</v>
      </c>
    </row>
    <row r="452" spans="1:14" x14ac:dyDescent="0.25">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25">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25">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38</v>
      </c>
      <c r="D515" s="3">
        <v>60000</v>
      </c>
      <c r="E515">
        <v>4</v>
      </c>
      <c r="F515" t="s">
        <v>31</v>
      </c>
      <c r="G515" t="s">
        <v>28</v>
      </c>
      <c r="H515" t="s">
        <v>15</v>
      </c>
      <c r="I515">
        <v>2</v>
      </c>
      <c r="J515" t="s">
        <v>46</v>
      </c>
      <c r="K515" t="s">
        <v>32</v>
      </c>
      <c r="L515">
        <v>61</v>
      </c>
      <c r="M515" t="str">
        <f t="shared" ref="M515:M578" si="8">IF(L515&gt;54,"Old",IF(L515&gt;=31,"Middle Age",IF(L515&lt;31, "Adolescent", "Invalid")))</f>
        <v>Old</v>
      </c>
      <c r="N515" t="s">
        <v>15</v>
      </c>
    </row>
    <row r="516" spans="1:14" x14ac:dyDescent="0.25">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25">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25">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Age",IF(L579&lt;31, "Adolescent", "Invalid")))</f>
        <v>Middle Age</v>
      </c>
      <c r="N579" t="s">
        <v>18</v>
      </c>
    </row>
    <row r="580" spans="1:14" x14ac:dyDescent="0.25">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25">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25">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39</v>
      </c>
      <c r="D643" s="3">
        <v>50000</v>
      </c>
      <c r="E643">
        <v>4</v>
      </c>
      <c r="F643" t="s">
        <v>13</v>
      </c>
      <c r="G643" t="s">
        <v>28</v>
      </c>
      <c r="H643" t="s">
        <v>15</v>
      </c>
      <c r="I643">
        <v>2</v>
      </c>
      <c r="J643" t="s">
        <v>46</v>
      </c>
      <c r="K643" t="s">
        <v>32</v>
      </c>
      <c r="L643">
        <v>64</v>
      </c>
      <c r="M643" t="str">
        <f t="shared" ref="M643:M706" si="10">IF(L643&gt;54,"Old",IF(L643&gt;=31,"Middle Age",IF(L643&lt;31, "Adolescent", "Invalid")))</f>
        <v>Old</v>
      </c>
      <c r="N643" t="s">
        <v>18</v>
      </c>
    </row>
    <row r="644" spans="1:14" x14ac:dyDescent="0.25">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25">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38</v>
      </c>
      <c r="D707" s="3">
        <v>70000</v>
      </c>
      <c r="E707">
        <v>4</v>
      </c>
      <c r="F707" t="s">
        <v>13</v>
      </c>
      <c r="G707" t="s">
        <v>28</v>
      </c>
      <c r="H707" t="s">
        <v>15</v>
      </c>
      <c r="I707">
        <v>1</v>
      </c>
      <c r="J707" t="s">
        <v>46</v>
      </c>
      <c r="K707" t="s">
        <v>32</v>
      </c>
      <c r="L707">
        <v>59</v>
      </c>
      <c r="M707" t="str">
        <f t="shared" ref="M707:M770" si="11">IF(L707&gt;54,"Old",IF(L707&gt;=31,"Middle Age",IF(L707&lt;31, "Adolescent", "Invalid")))</f>
        <v>Old</v>
      </c>
      <c r="N707" t="s">
        <v>18</v>
      </c>
    </row>
    <row r="708" spans="1:14" x14ac:dyDescent="0.25">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25">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25">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Age",IF(L771&lt;31, "Adolescent", "Invalid")))</f>
        <v>Middle Age</v>
      </c>
      <c r="N771" t="s">
        <v>18</v>
      </c>
    </row>
    <row r="772" spans="1:14" x14ac:dyDescent="0.25">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25">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25">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25">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Age",IF(L835&lt;31, "Adolescent", "Invalid")))</f>
        <v>Middle Age</v>
      </c>
      <c r="N835" t="s">
        <v>15</v>
      </c>
    </row>
    <row r="836" spans="1:14" x14ac:dyDescent="0.25">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25">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25">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25">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Age",IF(L899&lt;31, "Adolescent", "Invalid")))</f>
        <v>Adolescent</v>
      </c>
      <c r="N899" t="s">
        <v>18</v>
      </c>
    </row>
    <row r="900" spans="1:14" x14ac:dyDescent="0.25">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25">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25">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25">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Age",IF(L963&lt;31, "Adolescent", "Invalid")))</f>
        <v>Old</v>
      </c>
      <c r="N963" t="s">
        <v>18</v>
      </c>
    </row>
    <row r="964" spans="1:14" x14ac:dyDescent="0.25">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25">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25">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25">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sheetData>
  <autoFilter ref="A1:N1001" xr:uid="{29BD0F63-E5AC-4E0E-8CC9-B22BE2DC46C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2B8D5-D61B-4A84-BF65-227F4244CDBB}">
  <dimension ref="A3:D88"/>
  <sheetViews>
    <sheetView topLeftCell="A26" zoomScaleNormal="100" workbookViewId="0">
      <selection activeCell="L58" sqref="L58"/>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 min="5" max="5" width="16.28515625" bestFit="1" customWidth="1"/>
    <col min="6" max="6" width="11.28515625" bestFit="1" customWidth="1"/>
  </cols>
  <sheetData>
    <row r="3" spans="1:4" x14ac:dyDescent="0.25">
      <c r="A3" s="4" t="s">
        <v>43</v>
      </c>
      <c r="B3" s="4" t="s">
        <v>44</v>
      </c>
    </row>
    <row r="4" spans="1:4" x14ac:dyDescent="0.25">
      <c r="A4" s="4" t="s">
        <v>41</v>
      </c>
      <c r="B4" t="s">
        <v>18</v>
      </c>
      <c r="C4" t="s">
        <v>15</v>
      </c>
      <c r="D4" t="s">
        <v>42</v>
      </c>
    </row>
    <row r="5" spans="1:4" x14ac:dyDescent="0.25">
      <c r="A5" s="5" t="s">
        <v>38</v>
      </c>
      <c r="B5" s="6">
        <v>39375</v>
      </c>
      <c r="C5" s="6">
        <v>40000</v>
      </c>
      <c r="D5" s="6">
        <v>39705.882352941175</v>
      </c>
    </row>
    <row r="6" spans="1:4" x14ac:dyDescent="0.25">
      <c r="A6" s="5" t="s">
        <v>39</v>
      </c>
      <c r="B6" s="6">
        <v>40000</v>
      </c>
      <c r="C6" s="6">
        <v>35294.117647058825</v>
      </c>
      <c r="D6" s="6">
        <v>36800</v>
      </c>
    </row>
    <row r="7" spans="1:4" x14ac:dyDescent="0.25">
      <c r="A7" s="5" t="s">
        <v>42</v>
      </c>
      <c r="B7" s="6">
        <v>39583.333333333336</v>
      </c>
      <c r="C7" s="6">
        <v>37714.285714285717</v>
      </c>
      <c r="D7" s="6">
        <v>38474.576271186437</v>
      </c>
    </row>
    <row r="20" spans="1:4" x14ac:dyDescent="0.25">
      <c r="A20" s="4" t="s">
        <v>45</v>
      </c>
      <c r="B20" s="4" t="s">
        <v>44</v>
      </c>
    </row>
    <row r="21" spans="1:4" x14ac:dyDescent="0.25">
      <c r="A21" s="4" t="s">
        <v>41</v>
      </c>
      <c r="B21" t="s">
        <v>18</v>
      </c>
      <c r="C21" t="s">
        <v>15</v>
      </c>
      <c r="D21" t="s">
        <v>42</v>
      </c>
    </row>
    <row r="22" spans="1:4" x14ac:dyDescent="0.25">
      <c r="A22" s="5" t="s">
        <v>16</v>
      </c>
      <c r="B22" s="9">
        <v>19</v>
      </c>
      <c r="C22" s="9">
        <v>31</v>
      </c>
      <c r="D22" s="9">
        <v>50</v>
      </c>
    </row>
    <row r="23" spans="1:4" x14ac:dyDescent="0.25">
      <c r="A23" s="5" t="s">
        <v>26</v>
      </c>
      <c r="B23" s="9"/>
      <c r="C23" s="9">
        <v>3</v>
      </c>
      <c r="D23" s="9">
        <v>3</v>
      </c>
    </row>
    <row r="24" spans="1:4" x14ac:dyDescent="0.25">
      <c r="A24" s="5" t="s">
        <v>22</v>
      </c>
      <c r="B24" s="9">
        <v>4</v>
      </c>
      <c r="C24" s="9"/>
      <c r="D24" s="9">
        <v>4</v>
      </c>
    </row>
    <row r="25" spans="1:4" x14ac:dyDescent="0.25">
      <c r="A25" s="5" t="s">
        <v>46</v>
      </c>
      <c r="B25" s="9">
        <v>1</v>
      </c>
      <c r="C25" s="9">
        <v>1</v>
      </c>
      <c r="D25" s="9">
        <v>2</v>
      </c>
    </row>
    <row r="26" spans="1:4" x14ac:dyDescent="0.25">
      <c r="A26" s="5" t="s">
        <v>42</v>
      </c>
      <c r="B26" s="9">
        <v>24</v>
      </c>
      <c r="C26" s="9">
        <v>35</v>
      </c>
      <c r="D26" s="9">
        <v>59</v>
      </c>
    </row>
    <row r="41" spans="1:4" x14ac:dyDescent="0.25">
      <c r="A41" s="4" t="s">
        <v>45</v>
      </c>
      <c r="B41" s="4" t="s">
        <v>44</v>
      </c>
    </row>
    <row r="42" spans="1:4" x14ac:dyDescent="0.25">
      <c r="A42" s="4" t="s">
        <v>41</v>
      </c>
      <c r="B42" t="s">
        <v>18</v>
      </c>
      <c r="C42" t="s">
        <v>15</v>
      </c>
      <c r="D42" t="s">
        <v>42</v>
      </c>
    </row>
    <row r="43" spans="1:4" x14ac:dyDescent="0.25">
      <c r="A43" s="5" t="s">
        <v>47</v>
      </c>
      <c r="B43" s="9">
        <v>13</v>
      </c>
      <c r="C43" s="9">
        <v>32</v>
      </c>
      <c r="D43" s="9">
        <v>45</v>
      </c>
    </row>
    <row r="44" spans="1:4" x14ac:dyDescent="0.25">
      <c r="A44" s="5" t="s">
        <v>48</v>
      </c>
      <c r="B44" s="9">
        <v>11</v>
      </c>
      <c r="C44" s="9">
        <v>3</v>
      </c>
      <c r="D44" s="9">
        <v>14</v>
      </c>
    </row>
    <row r="45" spans="1:4" x14ac:dyDescent="0.25">
      <c r="A45" s="5" t="s">
        <v>42</v>
      </c>
      <c r="B45" s="9">
        <v>24</v>
      </c>
      <c r="C45" s="9">
        <v>35</v>
      </c>
      <c r="D45" s="9">
        <v>59</v>
      </c>
    </row>
    <row r="61" spans="1:4" x14ac:dyDescent="0.25">
      <c r="A61" s="4" t="s">
        <v>45</v>
      </c>
      <c r="B61" s="4" t="s">
        <v>44</v>
      </c>
    </row>
    <row r="62" spans="1:4" x14ac:dyDescent="0.25">
      <c r="A62" s="4" t="s">
        <v>41</v>
      </c>
      <c r="B62" t="s">
        <v>18</v>
      </c>
      <c r="C62" t="s">
        <v>15</v>
      </c>
      <c r="D62" t="s">
        <v>42</v>
      </c>
    </row>
    <row r="63" spans="1:4" x14ac:dyDescent="0.25">
      <c r="A63" s="5">
        <v>32</v>
      </c>
      <c r="B63" s="9"/>
      <c r="C63" s="9">
        <v>3</v>
      </c>
      <c r="D63" s="9">
        <v>3</v>
      </c>
    </row>
    <row r="64" spans="1:4" x14ac:dyDescent="0.25">
      <c r="A64" s="5">
        <v>33</v>
      </c>
      <c r="B64" s="9"/>
      <c r="C64" s="9">
        <v>2</v>
      </c>
      <c r="D64" s="9">
        <v>2</v>
      </c>
    </row>
    <row r="65" spans="1:4" x14ac:dyDescent="0.25">
      <c r="A65" s="5">
        <v>35</v>
      </c>
      <c r="B65" s="9"/>
      <c r="C65" s="9">
        <v>2</v>
      </c>
      <c r="D65" s="9">
        <v>2</v>
      </c>
    </row>
    <row r="66" spans="1:4" x14ac:dyDescent="0.25">
      <c r="A66" s="5">
        <v>36</v>
      </c>
      <c r="B66" s="9"/>
      <c r="C66" s="9">
        <v>1</v>
      </c>
      <c r="D66" s="9">
        <v>1</v>
      </c>
    </row>
    <row r="67" spans="1:4" x14ac:dyDescent="0.25">
      <c r="A67" s="5">
        <v>37</v>
      </c>
      <c r="B67" s="9"/>
      <c r="C67" s="9">
        <v>2</v>
      </c>
      <c r="D67" s="9">
        <v>2</v>
      </c>
    </row>
    <row r="68" spans="1:4" x14ac:dyDescent="0.25">
      <c r="A68" s="5">
        <v>38</v>
      </c>
      <c r="B68" s="9"/>
      <c r="C68" s="9">
        <v>6</v>
      </c>
      <c r="D68" s="9">
        <v>6</v>
      </c>
    </row>
    <row r="69" spans="1:4" x14ac:dyDescent="0.25">
      <c r="A69" s="5">
        <v>39</v>
      </c>
      <c r="B69" s="9">
        <v>2</v>
      </c>
      <c r="C69" s="9">
        <v>1</v>
      </c>
      <c r="D69" s="9">
        <v>3</v>
      </c>
    </row>
    <row r="70" spans="1:4" x14ac:dyDescent="0.25">
      <c r="A70" s="5">
        <v>40</v>
      </c>
      <c r="B70" s="9">
        <v>2</v>
      </c>
      <c r="C70" s="9">
        <v>2</v>
      </c>
      <c r="D70" s="9">
        <v>4</v>
      </c>
    </row>
    <row r="71" spans="1:4" x14ac:dyDescent="0.25">
      <c r="A71" s="5">
        <v>41</v>
      </c>
      <c r="B71" s="9">
        <v>2</v>
      </c>
      <c r="C71" s="9">
        <v>1</v>
      </c>
      <c r="D71" s="9">
        <v>3</v>
      </c>
    </row>
    <row r="72" spans="1:4" x14ac:dyDescent="0.25">
      <c r="A72" s="5">
        <v>42</v>
      </c>
      <c r="B72" s="9">
        <v>3</v>
      </c>
      <c r="C72" s="9">
        <v>2</v>
      </c>
      <c r="D72" s="9">
        <v>5</v>
      </c>
    </row>
    <row r="73" spans="1:4" x14ac:dyDescent="0.25">
      <c r="A73" s="5">
        <v>43</v>
      </c>
      <c r="B73" s="9"/>
      <c r="C73" s="9">
        <v>5</v>
      </c>
      <c r="D73" s="9">
        <v>5</v>
      </c>
    </row>
    <row r="74" spans="1:4" x14ac:dyDescent="0.25">
      <c r="A74" s="5">
        <v>44</v>
      </c>
      <c r="B74" s="9"/>
      <c r="C74" s="9">
        <v>1</v>
      </c>
      <c r="D74" s="9">
        <v>1</v>
      </c>
    </row>
    <row r="75" spans="1:4" x14ac:dyDescent="0.25">
      <c r="A75" s="5">
        <v>45</v>
      </c>
      <c r="B75" s="9">
        <v>1</v>
      </c>
      <c r="C75" s="9"/>
      <c r="D75" s="9">
        <v>1</v>
      </c>
    </row>
    <row r="76" spans="1:4" x14ac:dyDescent="0.25">
      <c r="A76" s="5">
        <v>47</v>
      </c>
      <c r="B76" s="9">
        <v>2</v>
      </c>
      <c r="C76" s="9">
        <v>2</v>
      </c>
      <c r="D76" s="9">
        <v>4</v>
      </c>
    </row>
    <row r="77" spans="1:4" x14ac:dyDescent="0.25">
      <c r="A77" s="5">
        <v>48</v>
      </c>
      <c r="B77" s="9">
        <v>1</v>
      </c>
      <c r="C77" s="9"/>
      <c r="D77" s="9">
        <v>1</v>
      </c>
    </row>
    <row r="78" spans="1:4" x14ac:dyDescent="0.25">
      <c r="A78" s="5">
        <v>50</v>
      </c>
      <c r="B78" s="9"/>
      <c r="C78" s="9">
        <v>1</v>
      </c>
      <c r="D78" s="9">
        <v>1</v>
      </c>
    </row>
    <row r="79" spans="1:4" x14ac:dyDescent="0.25">
      <c r="A79" s="5">
        <v>52</v>
      </c>
      <c r="B79" s="9"/>
      <c r="C79" s="9">
        <v>1</v>
      </c>
      <c r="D79" s="9">
        <v>1</v>
      </c>
    </row>
    <row r="80" spans="1:4" x14ac:dyDescent="0.25">
      <c r="A80" s="5">
        <v>59</v>
      </c>
      <c r="B80" s="9">
        <v>1</v>
      </c>
      <c r="C80" s="9"/>
      <c r="D80" s="9">
        <v>1</v>
      </c>
    </row>
    <row r="81" spans="1:4" x14ac:dyDescent="0.25">
      <c r="A81" s="5">
        <v>61</v>
      </c>
      <c r="B81" s="9">
        <v>1</v>
      </c>
      <c r="C81" s="9"/>
      <c r="D81" s="9">
        <v>1</v>
      </c>
    </row>
    <row r="82" spans="1:4" x14ac:dyDescent="0.25">
      <c r="A82" s="5">
        <v>62</v>
      </c>
      <c r="B82" s="9">
        <v>2</v>
      </c>
      <c r="C82" s="9"/>
      <c r="D82" s="9">
        <v>2</v>
      </c>
    </row>
    <row r="83" spans="1:4" x14ac:dyDescent="0.25">
      <c r="A83" s="5">
        <v>64</v>
      </c>
      <c r="B83" s="9">
        <v>1</v>
      </c>
      <c r="C83" s="9">
        <v>1</v>
      </c>
      <c r="D83" s="9">
        <v>2</v>
      </c>
    </row>
    <row r="84" spans="1:4" x14ac:dyDescent="0.25">
      <c r="A84" s="5">
        <v>65</v>
      </c>
      <c r="B84" s="9">
        <v>2</v>
      </c>
      <c r="C84" s="9">
        <v>1</v>
      </c>
      <c r="D84" s="9">
        <v>3</v>
      </c>
    </row>
    <row r="85" spans="1:4" x14ac:dyDescent="0.25">
      <c r="A85" s="5">
        <v>66</v>
      </c>
      <c r="B85" s="9">
        <v>2</v>
      </c>
      <c r="C85" s="9">
        <v>1</v>
      </c>
      <c r="D85" s="9">
        <v>3</v>
      </c>
    </row>
    <row r="86" spans="1:4" x14ac:dyDescent="0.25">
      <c r="A86" s="5">
        <v>80</v>
      </c>
      <c r="B86" s="9">
        <v>1</v>
      </c>
      <c r="C86" s="9"/>
      <c r="D86" s="9">
        <v>1</v>
      </c>
    </row>
    <row r="87" spans="1:4" x14ac:dyDescent="0.25">
      <c r="A87" s="5">
        <v>89</v>
      </c>
      <c r="B87" s="9">
        <v>1</v>
      </c>
      <c r="C87" s="9"/>
      <c r="D87" s="9">
        <v>1</v>
      </c>
    </row>
    <row r="88" spans="1:4" x14ac:dyDescent="0.25">
      <c r="A88" s="5" t="s">
        <v>42</v>
      </c>
      <c r="B88" s="9">
        <v>24</v>
      </c>
      <c r="C88" s="9">
        <v>35</v>
      </c>
      <c r="D88" s="9">
        <v>59</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47B79-B459-4975-BD0D-03305BC6F272}">
  <dimension ref="A1:O6"/>
  <sheetViews>
    <sheetView showGridLines="0" tabSelected="1" zoomScale="85" zoomScaleNormal="85" workbookViewId="0">
      <selection activeCell="T14" sqref="T14"/>
    </sheetView>
  </sheetViews>
  <sheetFormatPr defaultRowHeight="15" x14ac:dyDescent="0.25"/>
  <sheetData>
    <row r="1" spans="1:15" x14ac:dyDescent="0.25">
      <c r="A1" s="7" t="s">
        <v>49</v>
      </c>
      <c r="B1" s="8"/>
      <c r="C1" s="8"/>
      <c r="D1" s="8"/>
      <c r="E1" s="8"/>
      <c r="F1" s="8"/>
      <c r="G1" s="8"/>
      <c r="H1" s="8"/>
      <c r="I1" s="8"/>
      <c r="J1" s="8"/>
      <c r="K1" s="8"/>
      <c r="L1" s="8"/>
      <c r="M1" s="8"/>
      <c r="N1" s="8"/>
      <c r="O1" s="8"/>
    </row>
    <row r="2" spans="1:15" x14ac:dyDescent="0.25">
      <c r="A2" s="8"/>
      <c r="B2" s="8"/>
      <c r="C2" s="8"/>
      <c r="D2" s="8"/>
      <c r="E2" s="8"/>
      <c r="F2" s="8"/>
      <c r="G2" s="8"/>
      <c r="H2" s="8"/>
      <c r="I2" s="8"/>
      <c r="J2" s="8"/>
      <c r="K2" s="8"/>
      <c r="L2" s="8"/>
      <c r="M2" s="8"/>
      <c r="N2" s="8"/>
      <c r="O2" s="8"/>
    </row>
    <row r="3" spans="1:15" x14ac:dyDescent="0.25">
      <c r="A3" s="8"/>
      <c r="B3" s="8"/>
      <c r="C3" s="8"/>
      <c r="D3" s="8"/>
      <c r="E3" s="8"/>
      <c r="F3" s="8"/>
      <c r="G3" s="8"/>
      <c r="H3" s="8"/>
      <c r="I3" s="8"/>
      <c r="J3" s="8"/>
      <c r="K3" s="8"/>
      <c r="L3" s="8"/>
      <c r="M3" s="8"/>
      <c r="N3" s="8"/>
      <c r="O3" s="8"/>
    </row>
    <row r="4" spans="1:15" x14ac:dyDescent="0.25">
      <c r="A4" s="8"/>
      <c r="B4" s="8"/>
      <c r="C4" s="8"/>
      <c r="D4" s="8"/>
      <c r="E4" s="8"/>
      <c r="F4" s="8"/>
      <c r="G4" s="8"/>
      <c r="H4" s="8"/>
      <c r="I4" s="8"/>
      <c r="J4" s="8"/>
      <c r="K4" s="8"/>
      <c r="L4" s="8"/>
      <c r="M4" s="8"/>
      <c r="N4" s="8"/>
      <c r="O4" s="8"/>
    </row>
    <row r="5" spans="1:15" x14ac:dyDescent="0.25">
      <c r="A5" s="8"/>
      <c r="B5" s="8"/>
      <c r="C5" s="8"/>
      <c r="D5" s="8"/>
      <c r="E5" s="8"/>
      <c r="F5" s="8"/>
      <c r="G5" s="8"/>
      <c r="H5" s="8"/>
      <c r="I5" s="8"/>
      <c r="J5" s="8"/>
      <c r="K5" s="8"/>
      <c r="L5" s="8"/>
      <c r="M5" s="8"/>
      <c r="N5" s="8"/>
      <c r="O5" s="8"/>
    </row>
    <row r="6" spans="1:15" x14ac:dyDescent="0.25">
      <c r="A6" s="8"/>
      <c r="B6" s="8"/>
      <c r="C6" s="8"/>
      <c r="D6" s="8"/>
      <c r="E6" s="8"/>
      <c r="F6" s="8"/>
      <c r="G6" s="8"/>
      <c r="H6" s="8"/>
      <c r="I6" s="8"/>
      <c r="J6" s="8"/>
      <c r="K6" s="8"/>
      <c r="L6" s="8"/>
      <c r="M6" s="8"/>
      <c r="N6" s="8"/>
      <c r="O6" s="8"/>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Jhon Robin Blanco</cp:lastModifiedBy>
  <dcterms:created xsi:type="dcterms:W3CDTF">2022-03-18T02:50:57Z</dcterms:created>
  <dcterms:modified xsi:type="dcterms:W3CDTF">2026-06-06T01:27:02Z</dcterms:modified>
</cp:coreProperties>
</file>